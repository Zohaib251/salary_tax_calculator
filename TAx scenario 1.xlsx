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d\Desktop\"/>
    </mc:Choice>
  </mc:AlternateContent>
  <xr:revisionPtr revIDLastSave="0" documentId="13_ncr:1_{ADFE00A1-67D7-410D-995E-12C1A8A2CC99}" xr6:coauthVersionLast="47" xr6:coauthVersionMax="47" xr10:uidLastSave="{00000000-0000-0000-0000-000000000000}"/>
  <bookViews>
    <workbookView xWindow="-108" yWindow="-108" windowWidth="23256" windowHeight="12456" firstSheet="1" activeTab="1" xr2:uid="{61CDB9D2-8925-4F35-BDA1-618223513376}"/>
  </bookViews>
  <sheets>
    <sheet name="Sheet1" sheetId="1" state="hidden" r:id="rId1"/>
    <sheet name="Sheet2" sheetId="2" r:id="rId2"/>
  </sheets>
  <definedNames>
    <definedName name="index2_20_1" localSheetId="0">Sheet1!$A$3:$A$93</definedName>
    <definedName name="_xlnm.Print_Area" localSheetId="1">Sheet2!$A$1:$E$90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2" l="1"/>
  <c r="E14" i="2"/>
  <c r="E29" i="2" s="1"/>
  <c r="D14" i="2"/>
  <c r="L48" i="2"/>
  <c r="L47" i="2"/>
  <c r="M47" i="2" s="1"/>
  <c r="M45" i="2"/>
  <c r="F44" i="2"/>
  <c r="D44" i="2"/>
  <c r="E43" i="2"/>
  <c r="E42" i="2"/>
  <c r="D47" i="2"/>
  <c r="E47" i="2" s="1"/>
  <c r="E34" i="2"/>
  <c r="E85" i="2"/>
  <c r="E84" i="2"/>
  <c r="E83" i="2"/>
  <c r="E82" i="2"/>
  <c r="E81" i="2"/>
  <c r="E80" i="2"/>
  <c r="E79" i="2"/>
  <c r="E78" i="2"/>
  <c r="E77" i="2"/>
  <c r="E37" i="2"/>
  <c r="E36" i="2"/>
  <c r="E35" i="2"/>
  <c r="E33" i="2"/>
  <c r="E18" i="2"/>
  <c r="E19" i="2"/>
  <c r="E20" i="2"/>
  <c r="E21" i="2"/>
  <c r="E22" i="2"/>
  <c r="E23" i="2"/>
  <c r="E24" i="2"/>
  <c r="E25" i="2"/>
  <c r="E26" i="2"/>
  <c r="E27" i="2"/>
  <c r="E17" i="2"/>
  <c r="E11" i="2"/>
  <c r="E10" i="2"/>
  <c r="E9" i="2"/>
  <c r="E8" i="2"/>
  <c r="E7" i="2"/>
  <c r="D67" i="1"/>
  <c r="D68" i="1" s="1"/>
  <c r="D65" i="1"/>
  <c r="C60" i="1"/>
  <c r="D42" i="1"/>
  <c r="D37" i="1"/>
  <c r="D28" i="1"/>
  <c r="D27" i="1"/>
  <c r="D25" i="1"/>
  <c r="D24" i="1"/>
  <c r="D21" i="1"/>
  <c r="D17" i="1"/>
  <c r="D11" i="1"/>
  <c r="D10" i="1"/>
  <c r="D9" i="1"/>
  <c r="D8" i="1"/>
  <c r="D7" i="1"/>
  <c r="D6" i="1"/>
  <c r="D5" i="1"/>
  <c r="D4" i="1"/>
  <c r="D3" i="1"/>
  <c r="D2" i="1"/>
  <c r="D44" i="1" s="1"/>
  <c r="M43" i="2" l="1"/>
  <c r="E44" i="2" s="1"/>
  <c r="E87" i="2"/>
  <c r="D43" i="2"/>
  <c r="D45" i="2"/>
  <c r="E45" i="2" s="1"/>
  <c r="E13" i="2"/>
  <c r="E58" i="2"/>
  <c r="E60" i="2" s="1"/>
  <c r="E51" i="2" l="1"/>
  <c r="E52" i="2" s="1"/>
  <c r="E61" i="2"/>
  <c r="D70" i="2" s="1"/>
  <c r="E62" i="2" l="1"/>
  <c r="D68" i="2"/>
  <c r="D66" i="2"/>
  <c r="E68" i="2" l="1"/>
  <c r="E70" i="2"/>
  <c r="E66" i="2"/>
  <c r="E72" i="2" l="1"/>
  <c r="E73" i="2" s="1"/>
  <c r="E90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4193D8-0ACC-44CC-BFD7-16A83378C0D3}" name="Connection" type="4" refreshedVersion="8" background="1" saveData="1">
    <webPr sourceData="1" parsePre="1" consecutive="1" xl2000="1" url="file:///C:/Users/Zaid/AppData/Local/Packages/5319275A.WhatsAppDesktop_cv1g1gvanyjgm/LocalState/sessions/EBA21800F46001316EC7731CDDEAB150700C5E38/transfers/2026-02/index2%20(1).html"/>
  </connection>
</connections>
</file>

<file path=xl/sharedStrings.xml><?xml version="1.0" encoding="utf-8"?>
<sst xmlns="http://schemas.openxmlformats.org/spreadsheetml/2006/main" count="200" uniqueCount="189">
  <si>
    <t>Basic Salary</t>
  </si>
  <si>
    <t>Monthly</t>
  </si>
  <si>
    <t>Yearly</t>
  </si>
  <si>
    <t>Any Pay, Wages or Other Remuneration</t>
  </si>
  <si>
    <t>Leave Pay</t>
  </si>
  <si>
    <t>Payment in Lieu of Leave</t>
  </si>
  <si>
    <t>Bonus</t>
  </si>
  <si>
    <t>Overtime</t>
  </si>
  <si>
    <t>Commission from Employment</t>
  </si>
  <si>
    <t>Fee from Employment</t>
  </si>
  <si>
    <t>Gratuity</t>
  </si>
  <si>
    <t>Work Condition Supplements (Unpleasant/Dangerous Work)</t>
  </si>
  <si>
    <t>3 Perquisites (Benefits in Kind)</t>
  </si>
  <si>
    <t>Accommodation Note #1</t>
  </si>
  <si>
    <t>Taxable value is higher of:</t>
  </si>
  <si>
    <t>Accommodation provided by employer House Rent Allowance received</t>
  </si>
  <si>
    <t>Market Rent Value (if accommodation provided)</t>
  </si>
  <si>
    <t>House Rent Allowance (if received)</t>
  </si>
  <si>
    <t>Conveyance Note #2</t>
  </si>
  <si>
    <t>Car Usage Type</t>
  </si>
  <si>
    <t>Partly Personal &amp; Partly Official (5% of cost) Personal Use Only (10% of cost) No company car provided</t>
  </si>
  <si>
    <t>Cost of Car (if purchased by employer)</t>
  </si>
  <si>
    <t>OR: Fair Market Lease Value (if leased)</t>
  </si>
  <si>
    <t>Domestic Assistant Services Note #3</t>
  </si>
  <si>
    <t>Total Salary Paid by Employer</t>
  </si>
  <si>
    <t>Employee Contribution (if any)</t>
  </si>
  <si>
    <t>Utilities Note #4</t>
  </si>
  <si>
    <t>Fair Market Value of Utilities</t>
  </si>
  <si>
    <t>Loan from Employer Notes #5-8</t>
  </si>
  <si>
    <t>Notes #5-8:</t>
  </si>
  <si>
    <t>1. Either no profit on loan is payable by the employee OR the rate of profit is less than benchmark rate (10%)</t>
  </si>
  <si>
    <t>2. Taxable benefit = Profit computed at 10% benchmark rate (if no profit payable)</t>
  </si>
  <si>
    <t>3. OR: Difference between actual profit paid and profit computed at 10% benchmark rate</t>
  </si>
  <si>
    <t>4. NOT applicable to loan amount ≤ Rs. 1 million</t>
  </si>
  <si>
    <t>Is loan amount ≤ Rs. 1 million?</t>
  </si>
  <si>
    <t>Yes (No taxable benefit - Note #8) No (May have taxable benefit)</t>
  </si>
  <si>
    <t>Loan Amount Outstanding</t>
  </si>
  <si>
    <t>Interest Rate Paid by Employee (%)</t>
  </si>
  <si>
    <t>Is profit on loan payable by employee?</t>
  </si>
  <si>
    <t>No profit payable (Note #6) Profit payable but less than 10% (Note #7)</t>
  </si>
  <si>
    <t>Medical Allowance Note #8</t>
  </si>
  <si>
    <t>Medical Allowance Received</t>
  </si>
  <si>
    <t>Does employer provide separate medical facility/reimbursement?</t>
  </si>
  <si>
    <t>Yes (Medical allowance fully taxable) No (Exempt up to 10% of basic salary)</t>
  </si>
  <si>
    <t>Other Allowances</t>
  </si>
  <si>
    <t>Cost of Living Allowance</t>
  </si>
  <si>
    <t>Subsistence Allowance</t>
  </si>
  <si>
    <t>Utilities Allowance</t>
  </si>
  <si>
    <t>Education Allowance Note #8.1.1</t>
  </si>
  <si>
    <t>Travel/Entertainment Allowance Note #8.1</t>
  </si>
  <si>
    <t>5 Reimbursement Note #10</t>
  </si>
  <si>
    <t>Reimbursement of expenses is taxable unless incurred on behalf of employer in performance of employee's duties.</t>
  </si>
  <si>
    <t>Medical Reimbursement (with bills) Exempt if in accordance with terms of employment</t>
  </si>
  <si>
    <t>Other Reimbursements (please specify)</t>
  </si>
  <si>
    <t>Termination/Redundancy/Golden Handshake</t>
  </si>
  <si>
    <t>Amount Received on Termination</t>
  </si>
  <si>
    <t>Choose Tax Calculation Method</t>
  </si>
  <si>
    <t>Normal Tax Slabs 3-Year Average Rate (Separate block)</t>
  </si>
  <si>
    <t>Total Tax Paid (Last 3 Years)</t>
  </si>
  <si>
    <t>Total Taxable Income (Last 3 Years)</t>
  </si>
  <si>
    <t>Provident Fund Note #12</t>
  </si>
  <si>
    <t>Pension Amount Received</t>
  </si>
  <si>
    <t>Is this from Government or former employer?</t>
  </si>
  <si>
    <t>Government (Exempt) Former Employer (Exempt for citizens) Current Employer (Taxable)</t>
  </si>
  <si>
    <t>Commutation of Pension Note #12.3</t>
  </si>
  <si>
    <t>Commutation of Pension Amount</t>
  </si>
  <si>
    <t xml:space="preserve">Previous Next: Employee Shares </t>
  </si>
  <si>
    <t>8 Employee Share Scheme Note #13</t>
  </si>
  <si>
    <t>Type of Share Scheme</t>
  </si>
  <si>
    <t>Shares issued without restriction Shares issued with restriction No share scheme</t>
  </si>
  <si>
    <t>Fair Market Value at Issue/Transfer Date</t>
  </si>
  <si>
    <t>Consideration Paid by Employee</t>
  </si>
  <si>
    <t>Board Meeting Fee Note #14</t>
  </si>
  <si>
    <t>Fee for Attending Board Meetings Tax deductible @ 20% at source, adjustable against normal tax</t>
  </si>
  <si>
    <t xml:space="preserve">Previous Calculate Tax </t>
  </si>
  <si>
    <t>9 Tax Calculation Results</t>
  </si>
  <si>
    <t>Salary Tax Computation Summary</t>
  </si>
  <si>
    <t>Detailed Component Breakdown</t>
  </si>
  <si>
    <t>Previous FBR Filing Instructions</t>
  </si>
  <si>
    <t>Provident Fund</t>
  </si>
  <si>
    <t xml:space="preserve">Governemnt </t>
  </si>
  <si>
    <t>Exempt all amount received</t>
  </si>
  <si>
    <t>Recognised by FBR</t>
  </si>
  <si>
    <t>Than</t>
  </si>
  <si>
    <t xml:space="preserve">Employers Contribution </t>
  </si>
  <si>
    <t>Exempt up to</t>
  </si>
  <si>
    <t>Interest on PF</t>
  </si>
  <si>
    <t xml:space="preserve">Higher of Yearly interst upto 16% on accumulated balance or 1/3 of basic Salary </t>
  </si>
  <si>
    <t xml:space="preserve">Lower of yearly 150K or 1/10 of basic salary </t>
  </si>
  <si>
    <t>UnRecognised by FBR</t>
  </si>
  <si>
    <t>Balance amount received</t>
  </si>
  <si>
    <t>100% exempt</t>
  </si>
  <si>
    <t>Balance amount received 100% Taxable</t>
  </si>
  <si>
    <t>Government Fund</t>
  </si>
  <si>
    <t>Exempt</t>
  </si>
  <si>
    <t>Recognised Fund</t>
  </si>
  <si>
    <t>Employers Contribution</t>
  </si>
  <si>
    <t>Un Recoginsed Fund</t>
  </si>
  <si>
    <t>Accumulated Balance Received</t>
  </si>
  <si>
    <t>lower of 150K or 1/10 of BS</t>
  </si>
  <si>
    <t>@18%</t>
  </si>
  <si>
    <t>Taxable above of</t>
  </si>
  <si>
    <t xml:space="preserve">Taxable higher of upto 16% or 1/3 of BS </t>
  </si>
  <si>
    <t>Exemption</t>
  </si>
  <si>
    <t>Situation</t>
  </si>
  <si>
    <t>How pension is taxed</t>
  </si>
  <si>
    <t>Pension ≤ 10 million</t>
  </si>
  <si>
    <t>Normal salary slabs</t>
  </si>
  <si>
    <t>Pension &gt; 10 million &amp; age &lt; 70</t>
  </si>
  <si>
    <r>
      <t xml:space="preserve">Special </t>
    </r>
    <r>
      <rPr>
        <b/>
        <sz val="11"/>
        <color theme="1"/>
        <rFont val="Aptos Narrow"/>
        <family val="2"/>
        <scheme val="minor"/>
      </rPr>
      <t>final tax</t>
    </r>
  </si>
  <si>
    <t>Age ≥ 70 (any amount)</t>
  </si>
  <si>
    <t>Fully exempt</t>
  </si>
  <si>
    <t>Still working for same employer</t>
  </si>
  <si>
    <t>Advance Salary Tax Calculator</t>
  </si>
  <si>
    <t>Gross Salary - Section 12</t>
  </si>
  <si>
    <t>Utility Allowance</t>
  </si>
  <si>
    <t>House Rent Allowance (HRA)</t>
  </si>
  <si>
    <t>Medical Allowance</t>
  </si>
  <si>
    <t>Total Gross Salary: 0</t>
  </si>
  <si>
    <t>Cash Benefits - Section 12</t>
  </si>
  <si>
    <t>Leave Fare Assistance (LFA)</t>
  </si>
  <si>
    <t>Fuel Allowance (non-business use)</t>
  </si>
  <si>
    <t>Special Work Condition Allowance</t>
  </si>
  <si>
    <t>Lump Sum for Vehicle Purchase/Contribution</t>
  </si>
  <si>
    <t>House Loan Mark-up Subsidy</t>
  </si>
  <si>
    <t>Employee's Obligation Paid by Employer</t>
  </si>
  <si>
    <t>Fixed Salary Tax Paid by Employer</t>
  </si>
  <si>
    <t>Termination / Severance Amount</t>
  </si>
  <si>
    <t>Other Cash Benefits</t>
  </si>
  <si>
    <t>Total Cash Benefits: 0</t>
  </si>
  <si>
    <t>Perks - Section 12</t>
  </si>
  <si>
    <t>Servant/Driver/Maid Salaries Paid by Employer - Section Reference</t>
  </si>
  <si>
    <t>Employee Contribution towards Servant Salary - Section Reference</t>
  </si>
  <si>
    <t>Kids Education Reimbursement</t>
  </si>
  <si>
    <t>Car Lease / Ijara Rentals Reimbursement</t>
  </si>
  <si>
    <t>Utility Bills Reimbursement</t>
  </si>
  <si>
    <t>Company Provided Vehicle - Cost of Vehicle - Rule 5</t>
  </si>
  <si>
    <t>Vehicle Usage Type - Rule 5</t>
  </si>
  <si>
    <t>Personal Use Only (10%)</t>
  </si>
  <si>
    <t>Mixed Personal &amp; Business Use (5%)</t>
  </si>
  <si>
    <t>Employer Contribution in Provident Fund - Clause 3a</t>
  </si>
  <si>
    <t>Housing Facility Provided by Employer - Fair Market Rent - Rule 4</t>
  </si>
  <si>
    <t>Employer Loan Amount (if &gt; 1M) - Section 13</t>
  </si>
  <si>
    <t>Actual Interest Rate Paid (%) - Section 13</t>
  </si>
  <si>
    <t>Fair Market Value of Asset Transferred</t>
  </si>
  <si>
    <t>Any other perk not covered above</t>
  </si>
  <si>
    <t>Total Perks: 0</t>
  </si>
  <si>
    <t>Taxable Income Before Deductions: 0</t>
  </si>
  <si>
    <t>Exemptions / Deductions</t>
  </si>
  <si>
    <t>Zakat Paid (Zakat &amp; Ushr Ordinance 1980)- Section 60</t>
  </si>
  <si>
    <t>Deductible Allowance for Education Expenses - Section 60D</t>
  </si>
  <si>
    <t>Medical Allowance Exemption - 10% of basic salary if medical facility is not provided - Clause 139</t>
  </si>
  <si>
    <t>Total Deductions: 0</t>
  </si>
  <si>
    <t>Taxable Income After Deductions: 0</t>
  </si>
  <si>
    <t>Tax Payable Before Tax Credits: 0</t>
  </si>
  <si>
    <t>Tax Credits</t>
  </si>
  <si>
    <t>Tax Credit - Charitable Institution Contribution - Section 61</t>
  </si>
  <si>
    <t>Tax Credit - Pension Fund Contribution - Section 63</t>
  </si>
  <si>
    <t>Tax Credit - Interest Paid on House Loan - Section 63A</t>
  </si>
  <si>
    <t>Total Tax Liability: 0</t>
  </si>
  <si>
    <t>Adjustable Taxes</t>
  </si>
  <si>
    <t>Annual Token Tax - Section 234</t>
  </si>
  <si>
    <t>Vehicle Purchase (Manufacturer) - Section 231B</t>
  </si>
  <si>
    <t>Cash Withdrawal - Section 231AB</t>
  </si>
  <si>
    <t>Electricity Bills (specific conditions) - Section 235</t>
  </si>
  <si>
    <t>Property Purchase - Section 236K</t>
  </si>
  <si>
    <t>Property Sale - Section 236C</t>
  </si>
  <si>
    <t>Foreign Card Transactions - Section 236Y</t>
  </si>
  <si>
    <t>Telephone/Mobile/Internet Bills - Section 236</t>
  </si>
  <si>
    <t>Functions/Gatherings - Section 236CB</t>
  </si>
  <si>
    <t>Total Adjustable Taxes: 0</t>
  </si>
  <si>
    <t>Per Month</t>
  </si>
  <si>
    <t>only if taxable salary &gt;.5M</t>
  </si>
  <si>
    <t>Lower of</t>
  </si>
  <si>
    <t>Lower of 30% of Salary or actual)</t>
  </si>
  <si>
    <t>Lower of 20% of taxble income or  actual</t>
  </si>
  <si>
    <t xml:space="preserve">Accumulated Balance As at 30 june </t>
  </si>
  <si>
    <t>Interest for the Year</t>
  </si>
  <si>
    <t xml:space="preserve">Taxbale amount </t>
  </si>
  <si>
    <t xml:space="preserve">Higher of </t>
  </si>
  <si>
    <t>Yearly interest upto 16%</t>
  </si>
  <si>
    <t>or 1/3 of Salary</t>
  </si>
  <si>
    <t>Pension</t>
  </si>
  <si>
    <t>Actual</t>
  </si>
  <si>
    <r>
      <t>Net Tax Payable: </t>
    </r>
    <r>
      <rPr>
        <i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 / -</t>
    </r>
  </si>
  <si>
    <r>
      <t>Net Tax Payable: </t>
    </r>
    <r>
      <rPr>
        <b/>
        <i/>
        <sz val="11"/>
        <color theme="1"/>
        <rFont val="Aptos Narrow"/>
        <family val="2"/>
        <scheme val="minor"/>
      </rPr>
      <t>0</t>
    </r>
  </si>
  <si>
    <t>Total Credits: 0</t>
  </si>
  <si>
    <t>taxable Interest(W-1)</t>
  </si>
  <si>
    <t>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</si>
</sst>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2D3748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/>
      <bottom style="medium">
        <color rgb="FFE2E8F0"/>
      </bottom>
      <diagonal/>
    </border>
    <border>
      <left/>
      <right/>
      <top style="medium">
        <color rgb="FFE2E8F0"/>
      </top>
      <bottom style="medium">
        <color rgb="FFE2E8F0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rgb="FFE2E8F0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E2E8F0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164" fontId="0" fillId="0" borderId="0" xfId="1" applyNumberFormat="1" applyFont="1"/>
    <xf numFmtId="0" fontId="2" fillId="0" borderId="0" xfId="0" applyFont="1"/>
    <xf numFmtId="9" fontId="0" fillId="0" borderId="0" xfId="2" applyFont="1" applyAlignment="1">
      <alignment horizontal="center" vertical="center"/>
    </xf>
    <xf numFmtId="0" fontId="3" fillId="0" borderId="0" xfId="0" applyFont="1"/>
    <xf numFmtId="165" fontId="0" fillId="0" borderId="0" xfId="2" applyNumberFormat="1" applyFont="1"/>
    <xf numFmtId="0" fontId="0" fillId="0" borderId="0" xfId="0" quotePrefix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4" xfId="0" applyBorder="1"/>
    <xf numFmtId="164" fontId="0" fillId="0" borderId="4" xfId="1" applyNumberFormat="1" applyFont="1" applyBorder="1"/>
    <xf numFmtId="0" fontId="2" fillId="0" borderId="4" xfId="0" applyFont="1" applyBorder="1"/>
    <xf numFmtId="164" fontId="2" fillId="0" borderId="4" xfId="1" applyNumberFormat="1" applyFont="1" applyBorder="1"/>
    <xf numFmtId="0" fontId="0" fillId="0" borderId="6" xfId="0" applyBorder="1"/>
    <xf numFmtId="164" fontId="0" fillId="0" borderId="6" xfId="1" applyNumberFormat="1" applyFont="1" applyBorder="1"/>
    <xf numFmtId="0" fontId="2" fillId="0" borderId="8" xfId="0" applyFont="1" applyBorder="1"/>
    <xf numFmtId="164" fontId="2" fillId="0" borderId="8" xfId="1" applyNumberFormat="1" applyFont="1" applyBorder="1"/>
    <xf numFmtId="3" fontId="0" fillId="0" borderId="0" xfId="0" applyNumberFormat="1"/>
    <xf numFmtId="3" fontId="5" fillId="0" borderId="0" xfId="0" applyNumberFormat="1" applyFont="1"/>
    <xf numFmtId="164" fontId="0" fillId="2" borderId="0" xfId="1" applyNumberFormat="1" applyFont="1" applyFill="1"/>
    <xf numFmtId="164" fontId="0" fillId="0" borderId="0" xfId="0" applyNumberFormat="1"/>
    <xf numFmtId="164" fontId="2" fillId="0" borderId="0" xfId="0" applyNumberFormat="1" applyFont="1"/>
    <xf numFmtId="164" fontId="0" fillId="0" borderId="0" xfId="1" applyNumberFormat="1" applyFont="1" applyAlignment="1">
      <alignment horizontal="left"/>
    </xf>
    <xf numFmtId="9" fontId="0" fillId="0" borderId="0" xfId="2" applyFont="1"/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NumberFormat="1" applyFont="1"/>
    <xf numFmtId="0" fontId="2" fillId="0" borderId="9" xfId="0" applyFont="1" applyBorder="1"/>
    <xf numFmtId="164" fontId="2" fillId="0" borderId="9" xfId="1" applyNumberFormat="1" applyFont="1" applyBorder="1"/>
    <xf numFmtId="164" fontId="0" fillId="0" borderId="0" xfId="1" applyNumberFormat="1" applyFont="1" applyFill="1"/>
    <xf numFmtId="0" fontId="0" fillId="0" borderId="4" xfId="0" applyFont="1" applyBorder="1"/>
    <xf numFmtId="164" fontId="1" fillId="0" borderId="4" xfId="1" applyNumberFormat="1" applyFont="1" applyBorder="1"/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2" xfId="3" applyFont="1" applyBorder="1" applyAlignment="1">
      <alignment horizontal="left" vertical="center"/>
    </xf>
    <xf numFmtId="0" fontId="0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dex2%20(1)" connectionId="1" xr16:uid="{5121755B-8EB0-44B5-87AD-C8BA408C7CA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ade-rangier-freeman.ngrok-free.dev/section?section=3a" TargetMode="External"/><Relationship Id="rId13" Type="http://schemas.openxmlformats.org/officeDocument/2006/relationships/hyperlink" Target="https://wade-rangier-freeman.ngrok-free.dev/section?section=60D" TargetMode="External"/><Relationship Id="rId18" Type="http://schemas.openxmlformats.org/officeDocument/2006/relationships/hyperlink" Target="https://wade-rangier-freeman.ngrok-free.dev/section?section=234" TargetMode="External"/><Relationship Id="rId26" Type="http://schemas.openxmlformats.org/officeDocument/2006/relationships/hyperlink" Target="https://wade-rangier-freeman.ngrok-free.dev/section?section=236CB" TargetMode="External"/><Relationship Id="rId3" Type="http://schemas.openxmlformats.org/officeDocument/2006/relationships/hyperlink" Target="https://wade-rangier-freeman.ngrok-free.dev/section?section=12" TargetMode="External"/><Relationship Id="rId21" Type="http://schemas.openxmlformats.org/officeDocument/2006/relationships/hyperlink" Target="https://wade-rangier-freeman.ngrok-free.dev/section?section=235" TargetMode="External"/><Relationship Id="rId7" Type="http://schemas.openxmlformats.org/officeDocument/2006/relationships/hyperlink" Target="https://wade-rangier-freeman.ngrok-free.dev/rule.html?rule=5" TargetMode="External"/><Relationship Id="rId12" Type="http://schemas.openxmlformats.org/officeDocument/2006/relationships/hyperlink" Target="https://wade-rangier-freeman.ngrok-free.dev/section?section=60" TargetMode="External"/><Relationship Id="rId17" Type="http://schemas.openxmlformats.org/officeDocument/2006/relationships/hyperlink" Target="https://wade-rangier-freeman.ngrok-free.dev/section?section=63A" TargetMode="External"/><Relationship Id="rId25" Type="http://schemas.openxmlformats.org/officeDocument/2006/relationships/hyperlink" Target="https://wade-rangier-freeman.ngrok-free.dev/section?section=236" TargetMode="External"/><Relationship Id="rId2" Type="http://schemas.openxmlformats.org/officeDocument/2006/relationships/hyperlink" Target="https://wade-rangier-freeman.ngrok-free.dev/section?section=12" TargetMode="External"/><Relationship Id="rId16" Type="http://schemas.openxmlformats.org/officeDocument/2006/relationships/hyperlink" Target="https://wade-rangier-freeman.ngrok-free.dev/section?section=63" TargetMode="External"/><Relationship Id="rId20" Type="http://schemas.openxmlformats.org/officeDocument/2006/relationships/hyperlink" Target="https://wade-rangier-freeman.ngrok-free.dev/section?section=231AB" TargetMode="External"/><Relationship Id="rId1" Type="http://schemas.openxmlformats.org/officeDocument/2006/relationships/hyperlink" Target="https://wade-rangier-freeman.ngrok-free.dev/section?section=12" TargetMode="External"/><Relationship Id="rId6" Type="http://schemas.openxmlformats.org/officeDocument/2006/relationships/hyperlink" Target="https://wade-rangier-freeman.ngrok-free.dev/rule.html?rule=5" TargetMode="External"/><Relationship Id="rId11" Type="http://schemas.openxmlformats.org/officeDocument/2006/relationships/hyperlink" Target="https://wade-rangier-freeman.ngrok-free.dev/section?section=13" TargetMode="External"/><Relationship Id="rId24" Type="http://schemas.openxmlformats.org/officeDocument/2006/relationships/hyperlink" Target="https://wade-rangier-freeman.ngrok-free.dev/section?section=236Y" TargetMode="External"/><Relationship Id="rId5" Type="http://schemas.openxmlformats.org/officeDocument/2006/relationships/hyperlink" Target="https://wade-rangier-freeman.ngrok-free.dev/" TargetMode="External"/><Relationship Id="rId15" Type="http://schemas.openxmlformats.org/officeDocument/2006/relationships/hyperlink" Target="https://wade-rangier-freeman.ngrok-free.dev/section?section=61" TargetMode="External"/><Relationship Id="rId23" Type="http://schemas.openxmlformats.org/officeDocument/2006/relationships/hyperlink" Target="https://wade-rangier-freeman.ngrok-free.dev/section?section=236C" TargetMode="External"/><Relationship Id="rId10" Type="http://schemas.openxmlformats.org/officeDocument/2006/relationships/hyperlink" Target="https://wade-rangier-freeman.ngrok-free.dev/section?section=13" TargetMode="External"/><Relationship Id="rId19" Type="http://schemas.openxmlformats.org/officeDocument/2006/relationships/hyperlink" Target="https://wade-rangier-freeman.ngrok-free.dev/section?section=231B" TargetMode="External"/><Relationship Id="rId4" Type="http://schemas.openxmlformats.org/officeDocument/2006/relationships/hyperlink" Target="https://wade-rangier-freeman.ngrok-free.dev/" TargetMode="External"/><Relationship Id="rId9" Type="http://schemas.openxmlformats.org/officeDocument/2006/relationships/hyperlink" Target="https://wade-rangier-freeman.ngrok-free.dev/rule.html?rule=4" TargetMode="External"/><Relationship Id="rId14" Type="http://schemas.openxmlformats.org/officeDocument/2006/relationships/hyperlink" Target="https://wade-rangier-freeman.ngrok-free.dev/section?section=_139" TargetMode="External"/><Relationship Id="rId22" Type="http://schemas.openxmlformats.org/officeDocument/2006/relationships/hyperlink" Target="https://wade-rangier-freeman.ngrok-free.dev/section?section=236K" TargetMode="External"/><Relationship Id="rId27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6F64-5225-46C9-9CCE-972F81DCBCBC}">
  <dimension ref="A1:J93"/>
  <sheetViews>
    <sheetView topLeftCell="A19" workbookViewId="0">
      <selection activeCell="C3" sqref="C3"/>
    </sheetView>
  </sheetViews>
  <sheetFormatPr defaultRowHeight="14.4" x14ac:dyDescent="0.3"/>
  <cols>
    <col min="1" max="1" width="93.109375" bestFit="1" customWidth="1"/>
    <col min="2" max="2" width="13.5546875" bestFit="1" customWidth="1"/>
    <col min="3" max="3" width="11.44140625" bestFit="1" customWidth="1"/>
    <col min="4" max="5" width="13.109375" bestFit="1" customWidth="1"/>
    <col min="7" max="7" width="18.44140625" bestFit="1" customWidth="1"/>
    <col min="8" max="8" width="33.109375" bestFit="1" customWidth="1"/>
    <col min="9" max="9" width="11.77734375" bestFit="1" customWidth="1"/>
    <col min="10" max="10" width="65.21875" bestFit="1" customWidth="1"/>
  </cols>
  <sheetData>
    <row r="1" spans="1:4" x14ac:dyDescent="0.3">
      <c r="C1" t="s">
        <v>1</v>
      </c>
      <c r="D1" t="s">
        <v>2</v>
      </c>
    </row>
    <row r="2" spans="1:4" x14ac:dyDescent="0.3">
      <c r="A2" t="s">
        <v>0</v>
      </c>
      <c r="C2" s="1">
        <v>1000000</v>
      </c>
      <c r="D2" s="1">
        <f t="shared" ref="D2:D11" si="0">+C2*12</f>
        <v>12000000</v>
      </c>
    </row>
    <row r="3" spans="1:4" x14ac:dyDescent="0.3">
      <c r="A3" t="s">
        <v>3</v>
      </c>
      <c r="C3" s="1">
        <v>500000</v>
      </c>
      <c r="D3" s="1">
        <f t="shared" si="0"/>
        <v>6000000</v>
      </c>
    </row>
    <row r="4" spans="1:4" x14ac:dyDescent="0.3">
      <c r="A4" t="s">
        <v>4</v>
      </c>
      <c r="C4" s="1">
        <v>500000</v>
      </c>
      <c r="D4" s="1">
        <f t="shared" si="0"/>
        <v>6000000</v>
      </c>
    </row>
    <row r="5" spans="1:4" x14ac:dyDescent="0.3">
      <c r="A5" t="s">
        <v>5</v>
      </c>
      <c r="C5" s="1">
        <v>500000</v>
      </c>
      <c r="D5" s="1">
        <f t="shared" si="0"/>
        <v>6000000</v>
      </c>
    </row>
    <row r="6" spans="1:4" x14ac:dyDescent="0.3">
      <c r="A6" t="s">
        <v>6</v>
      </c>
      <c r="C6" s="1">
        <v>500000</v>
      </c>
      <c r="D6" s="1">
        <f t="shared" si="0"/>
        <v>6000000</v>
      </c>
    </row>
    <row r="7" spans="1:4" x14ac:dyDescent="0.3">
      <c r="A7" t="s">
        <v>7</v>
      </c>
      <c r="C7" s="1">
        <v>500000</v>
      </c>
      <c r="D7" s="1">
        <f t="shared" si="0"/>
        <v>6000000</v>
      </c>
    </row>
    <row r="8" spans="1:4" x14ac:dyDescent="0.3">
      <c r="A8" t="s">
        <v>8</v>
      </c>
      <c r="C8" s="1">
        <v>500000</v>
      </c>
      <c r="D8" s="1">
        <f t="shared" si="0"/>
        <v>6000000</v>
      </c>
    </row>
    <row r="9" spans="1:4" x14ac:dyDescent="0.3">
      <c r="A9" t="s">
        <v>9</v>
      </c>
      <c r="C9" s="1">
        <v>500000</v>
      </c>
      <c r="D9" s="1">
        <f t="shared" si="0"/>
        <v>6000000</v>
      </c>
    </row>
    <row r="10" spans="1:4" x14ac:dyDescent="0.3">
      <c r="A10" t="s">
        <v>10</v>
      </c>
      <c r="C10" s="1">
        <v>500000</v>
      </c>
      <c r="D10" s="1">
        <f t="shared" si="0"/>
        <v>6000000</v>
      </c>
    </row>
    <row r="11" spans="1:4" x14ac:dyDescent="0.3">
      <c r="A11" t="s">
        <v>11</v>
      </c>
      <c r="C11" s="1">
        <v>500000</v>
      </c>
      <c r="D11" s="1">
        <f t="shared" si="0"/>
        <v>6000000</v>
      </c>
    </row>
    <row r="12" spans="1:4" x14ac:dyDescent="0.3">
      <c r="A12" t="s">
        <v>12</v>
      </c>
      <c r="C12" s="1"/>
      <c r="D12" s="1"/>
    </row>
    <row r="13" spans="1:4" x14ac:dyDescent="0.3">
      <c r="A13" s="2" t="s">
        <v>13</v>
      </c>
      <c r="C13" s="1"/>
      <c r="D13" s="1"/>
    </row>
    <row r="14" spans="1:4" x14ac:dyDescent="0.3">
      <c r="A14" t="s">
        <v>14</v>
      </c>
      <c r="C14" s="1"/>
      <c r="D14" s="1"/>
    </row>
    <row r="15" spans="1:4" x14ac:dyDescent="0.3">
      <c r="A15" t="s">
        <v>15</v>
      </c>
    </row>
    <row r="16" spans="1:4" x14ac:dyDescent="0.3">
      <c r="A16" t="s">
        <v>16</v>
      </c>
      <c r="C16" s="1"/>
      <c r="D16" s="1"/>
    </row>
    <row r="17" spans="1:4" x14ac:dyDescent="0.3">
      <c r="A17" t="s">
        <v>17</v>
      </c>
      <c r="C17" s="1">
        <v>500000</v>
      </c>
      <c r="D17" s="1">
        <f>+C17</f>
        <v>500000</v>
      </c>
    </row>
    <row r="18" spans="1:4" x14ac:dyDescent="0.3">
      <c r="A18" s="2" t="s">
        <v>18</v>
      </c>
      <c r="C18" s="1"/>
      <c r="D18" s="1"/>
    </row>
    <row r="19" spans="1:4" x14ac:dyDescent="0.3">
      <c r="A19" t="s">
        <v>19</v>
      </c>
      <c r="C19" s="1"/>
      <c r="D19" s="1"/>
    </row>
    <row r="20" spans="1:4" x14ac:dyDescent="0.3">
      <c r="A20" t="s">
        <v>20</v>
      </c>
      <c r="C20" s="1"/>
      <c r="D20" s="1"/>
    </row>
    <row r="21" spans="1:4" x14ac:dyDescent="0.3">
      <c r="A21" t="s">
        <v>21</v>
      </c>
      <c r="C21" s="1">
        <v>10000000</v>
      </c>
      <c r="D21" s="1">
        <f>+C21*0.05</f>
        <v>500000</v>
      </c>
    </row>
    <row r="22" spans="1:4" x14ac:dyDescent="0.3">
      <c r="A22" t="s">
        <v>22</v>
      </c>
      <c r="C22" s="1"/>
      <c r="D22" s="1"/>
    </row>
    <row r="23" spans="1:4" x14ac:dyDescent="0.3">
      <c r="A23" s="2" t="s">
        <v>23</v>
      </c>
      <c r="C23" s="1"/>
      <c r="D23" s="1"/>
    </row>
    <row r="24" spans="1:4" x14ac:dyDescent="0.3">
      <c r="A24" t="s">
        <v>24</v>
      </c>
      <c r="C24" s="1">
        <v>500000</v>
      </c>
      <c r="D24" s="1">
        <f>+C24</f>
        <v>500000</v>
      </c>
    </row>
    <row r="25" spans="1:4" x14ac:dyDescent="0.3">
      <c r="A25" t="s">
        <v>25</v>
      </c>
      <c r="C25" s="1">
        <v>-100000</v>
      </c>
      <c r="D25" s="1">
        <f>+C25</f>
        <v>-100000</v>
      </c>
    </row>
    <row r="26" spans="1:4" x14ac:dyDescent="0.3">
      <c r="A26" s="2" t="s">
        <v>26</v>
      </c>
      <c r="C26" s="1"/>
      <c r="D26" s="1"/>
    </row>
    <row r="27" spans="1:4" x14ac:dyDescent="0.3">
      <c r="A27" t="s">
        <v>27</v>
      </c>
      <c r="C27" s="1">
        <v>500000</v>
      </c>
      <c r="D27" s="1">
        <f>+C27</f>
        <v>500000</v>
      </c>
    </row>
    <row r="28" spans="1:4" x14ac:dyDescent="0.3">
      <c r="A28" t="s">
        <v>25</v>
      </c>
      <c r="C28" s="1">
        <v>-100000</v>
      </c>
      <c r="D28" s="1">
        <f>+C28</f>
        <v>-100000</v>
      </c>
    </row>
    <row r="29" spans="1:4" x14ac:dyDescent="0.3">
      <c r="A29" s="2" t="s">
        <v>28</v>
      </c>
      <c r="C29" s="1"/>
      <c r="D29" s="1"/>
    </row>
    <row r="30" spans="1:4" x14ac:dyDescent="0.3">
      <c r="A30" s="4" t="s">
        <v>29</v>
      </c>
      <c r="C30" s="1"/>
      <c r="D30" s="1"/>
    </row>
    <row r="31" spans="1:4" x14ac:dyDescent="0.3">
      <c r="A31" s="4" t="s">
        <v>30</v>
      </c>
      <c r="C31" s="1"/>
      <c r="D31" s="1"/>
    </row>
    <row r="32" spans="1:4" x14ac:dyDescent="0.3">
      <c r="A32" s="4" t="s">
        <v>31</v>
      </c>
      <c r="C32" s="1"/>
      <c r="D32" s="1"/>
    </row>
    <row r="33" spans="1:4" x14ac:dyDescent="0.3">
      <c r="A33" s="4" t="s">
        <v>32</v>
      </c>
      <c r="C33" s="1"/>
      <c r="D33" s="1"/>
    </row>
    <row r="34" spans="1:4" x14ac:dyDescent="0.3">
      <c r="A34" s="4" t="s">
        <v>33</v>
      </c>
      <c r="C34" s="1"/>
      <c r="D34" s="1"/>
    </row>
    <row r="35" spans="1:4" x14ac:dyDescent="0.3">
      <c r="A35" s="4" t="s">
        <v>34</v>
      </c>
      <c r="C35" s="1"/>
      <c r="D35" s="1"/>
    </row>
    <row r="36" spans="1:4" x14ac:dyDescent="0.3">
      <c r="A36" t="s">
        <v>35</v>
      </c>
      <c r="C36" s="1"/>
      <c r="D36" s="1"/>
    </row>
    <row r="37" spans="1:4" x14ac:dyDescent="0.3">
      <c r="A37" t="s">
        <v>36</v>
      </c>
      <c r="C37" s="1">
        <v>1500000</v>
      </c>
      <c r="D37" s="1">
        <f>+(C37*0.1)-(C37*C38)</f>
        <v>75000</v>
      </c>
    </row>
    <row r="38" spans="1:4" x14ac:dyDescent="0.3">
      <c r="A38" t="s">
        <v>37</v>
      </c>
      <c r="C38" s="3">
        <v>0.05</v>
      </c>
      <c r="D38" s="1"/>
    </row>
    <row r="39" spans="1:4" x14ac:dyDescent="0.3">
      <c r="A39" t="s">
        <v>38</v>
      </c>
      <c r="C39" s="1"/>
      <c r="D39" s="1"/>
    </row>
    <row r="40" spans="1:4" x14ac:dyDescent="0.3">
      <c r="A40" t="s">
        <v>39</v>
      </c>
      <c r="C40" s="1"/>
      <c r="D40" s="1"/>
    </row>
    <row r="41" spans="1:4" x14ac:dyDescent="0.3">
      <c r="A41" s="2" t="s">
        <v>40</v>
      </c>
      <c r="C41" s="1"/>
      <c r="D41" s="1"/>
    </row>
    <row r="42" spans="1:4" x14ac:dyDescent="0.3">
      <c r="A42" t="s">
        <v>41</v>
      </c>
      <c r="C42" s="1">
        <v>1500000</v>
      </c>
      <c r="D42" s="1">
        <f>+C42</f>
        <v>1500000</v>
      </c>
    </row>
    <row r="43" spans="1:4" x14ac:dyDescent="0.3">
      <c r="A43" t="s">
        <v>42</v>
      </c>
      <c r="C43" s="1"/>
      <c r="D43" s="1"/>
    </row>
    <row r="44" spans="1:4" x14ac:dyDescent="0.3">
      <c r="A44" t="s">
        <v>43</v>
      </c>
      <c r="C44" s="1"/>
      <c r="D44" s="1">
        <f>-D2*0.1</f>
        <v>-1200000</v>
      </c>
    </row>
    <row r="45" spans="1:4" x14ac:dyDescent="0.3">
      <c r="A45" s="2" t="s">
        <v>44</v>
      </c>
      <c r="C45" s="1"/>
      <c r="D45" s="1"/>
    </row>
    <row r="46" spans="1:4" x14ac:dyDescent="0.3">
      <c r="A46" t="s">
        <v>45</v>
      </c>
      <c r="C46" s="1">
        <v>50000</v>
      </c>
      <c r="D46" s="1"/>
    </row>
    <row r="47" spans="1:4" x14ac:dyDescent="0.3">
      <c r="A47" t="s">
        <v>46</v>
      </c>
      <c r="C47" s="1">
        <v>50000</v>
      </c>
      <c r="D47" s="1"/>
    </row>
    <row r="48" spans="1:4" x14ac:dyDescent="0.3">
      <c r="A48" t="s">
        <v>47</v>
      </c>
      <c r="C48" s="1">
        <v>50000</v>
      </c>
      <c r="D48" s="1"/>
    </row>
    <row r="49" spans="1:10" x14ac:dyDescent="0.3">
      <c r="A49" t="s">
        <v>48</v>
      </c>
      <c r="C49" s="1">
        <v>50000</v>
      </c>
      <c r="D49" s="1"/>
    </row>
    <row r="50" spans="1:10" x14ac:dyDescent="0.3">
      <c r="A50" t="s">
        <v>49</v>
      </c>
      <c r="C50" s="1">
        <v>50000</v>
      </c>
      <c r="D50" s="1"/>
    </row>
    <row r="51" spans="1:10" x14ac:dyDescent="0.3">
      <c r="A51" t="s">
        <v>44</v>
      </c>
      <c r="C51" s="1">
        <v>50000</v>
      </c>
      <c r="D51" s="1"/>
    </row>
    <row r="52" spans="1:10" x14ac:dyDescent="0.3">
      <c r="A52" t="s">
        <v>50</v>
      </c>
      <c r="C52" s="1"/>
      <c r="D52" s="1"/>
    </row>
    <row r="53" spans="1:10" x14ac:dyDescent="0.3">
      <c r="A53" t="s">
        <v>51</v>
      </c>
      <c r="C53" s="1">
        <v>50000</v>
      </c>
      <c r="D53" s="1"/>
    </row>
    <row r="54" spans="1:10" x14ac:dyDescent="0.3">
      <c r="A54" t="s">
        <v>52</v>
      </c>
      <c r="C54" s="1">
        <v>50000</v>
      </c>
      <c r="D54" s="1"/>
    </row>
    <row r="55" spans="1:10" x14ac:dyDescent="0.3">
      <c r="A55" t="s">
        <v>53</v>
      </c>
      <c r="C55" s="1">
        <v>50000</v>
      </c>
      <c r="D55" s="1"/>
    </row>
    <row r="56" spans="1:10" x14ac:dyDescent="0.3">
      <c r="A56" s="2" t="s">
        <v>54</v>
      </c>
      <c r="C56" s="1"/>
      <c r="D56" s="1"/>
    </row>
    <row r="57" spans="1:10" x14ac:dyDescent="0.3">
      <c r="A57" t="s">
        <v>55</v>
      </c>
      <c r="C57" s="1">
        <v>2500000</v>
      </c>
      <c r="D57" s="1"/>
    </row>
    <row r="58" spans="1:10" x14ac:dyDescent="0.3">
      <c r="A58" t="s">
        <v>56</v>
      </c>
      <c r="C58" s="1"/>
      <c r="D58" s="1"/>
    </row>
    <row r="59" spans="1:10" x14ac:dyDescent="0.3">
      <c r="A59" t="s">
        <v>57</v>
      </c>
      <c r="C59" s="1"/>
      <c r="D59" s="1"/>
    </row>
    <row r="60" spans="1:10" x14ac:dyDescent="0.3">
      <c r="A60" t="s">
        <v>58</v>
      </c>
      <c r="B60" s="1">
        <v>2500000</v>
      </c>
      <c r="C60" s="5">
        <f>+B60/B61</f>
        <v>0.3125</v>
      </c>
      <c r="D60" s="1"/>
      <c r="G60" s="26" t="s">
        <v>79</v>
      </c>
      <c r="H60" s="26"/>
      <c r="I60" s="26"/>
      <c r="J60" s="26"/>
    </row>
    <row r="61" spans="1:10" x14ac:dyDescent="0.3">
      <c r="A61" t="s">
        <v>59</v>
      </c>
      <c r="B61" s="1">
        <v>8000000</v>
      </c>
      <c r="C61" s="1"/>
      <c r="D61" s="1"/>
      <c r="G61" s="2" t="s">
        <v>80</v>
      </c>
      <c r="H61" t="s">
        <v>81</v>
      </c>
    </row>
    <row r="62" spans="1:10" x14ac:dyDescent="0.3">
      <c r="A62" s="2" t="s">
        <v>60</v>
      </c>
      <c r="C62" s="1"/>
      <c r="D62" s="1"/>
      <c r="G62" s="2" t="s">
        <v>82</v>
      </c>
      <c r="H62" t="s">
        <v>83</v>
      </c>
    </row>
    <row r="63" spans="1:10" x14ac:dyDescent="0.3">
      <c r="A63" s="2" t="s">
        <v>93</v>
      </c>
      <c r="B63" t="s">
        <v>94</v>
      </c>
      <c r="C63" s="1"/>
      <c r="D63" s="1"/>
      <c r="G63" s="2"/>
      <c r="H63" t="s">
        <v>84</v>
      </c>
      <c r="I63" t="s">
        <v>85</v>
      </c>
      <c r="J63" t="s">
        <v>88</v>
      </c>
    </row>
    <row r="64" spans="1:10" x14ac:dyDescent="0.3">
      <c r="A64" s="2" t="s">
        <v>95</v>
      </c>
      <c r="C64" s="1"/>
      <c r="D64" s="1"/>
      <c r="G64" s="2"/>
      <c r="H64" t="s">
        <v>86</v>
      </c>
      <c r="I64" t="s">
        <v>101</v>
      </c>
      <c r="J64" t="s">
        <v>87</v>
      </c>
    </row>
    <row r="65" spans="1:9" x14ac:dyDescent="0.3">
      <c r="A65" t="s">
        <v>96</v>
      </c>
      <c r="C65" s="1">
        <v>25000000</v>
      </c>
      <c r="D65" s="1">
        <f>+C65</f>
        <v>25000000</v>
      </c>
      <c r="G65" s="2"/>
      <c r="H65" t="s">
        <v>90</v>
      </c>
      <c r="I65" t="s">
        <v>91</v>
      </c>
    </row>
    <row r="66" spans="1:9" x14ac:dyDescent="0.3">
      <c r="C66" s="1" t="s">
        <v>99</v>
      </c>
      <c r="D66" s="1">
        <v>-150000</v>
      </c>
      <c r="G66" s="2" t="s">
        <v>89</v>
      </c>
      <c r="H66" t="s">
        <v>92</v>
      </c>
    </row>
    <row r="67" spans="1:9" x14ac:dyDescent="0.3">
      <c r="A67" t="s">
        <v>86</v>
      </c>
      <c r="B67" s="1">
        <v>7000000</v>
      </c>
      <c r="C67" s="6" t="s">
        <v>100</v>
      </c>
      <c r="D67" s="1">
        <f>+B67</f>
        <v>7000000</v>
      </c>
    </row>
    <row r="68" spans="1:9" x14ac:dyDescent="0.3">
      <c r="A68" t="s">
        <v>103</v>
      </c>
      <c r="B68" s="1"/>
      <c r="C68" s="1" t="s">
        <v>102</v>
      </c>
      <c r="D68" s="1">
        <f>-D67/18*16</f>
        <v>-6222222.222222222</v>
      </c>
      <c r="E68" s="1"/>
    </row>
    <row r="69" spans="1:9" x14ac:dyDescent="0.3">
      <c r="A69" s="2" t="s">
        <v>97</v>
      </c>
      <c r="C69" s="1"/>
      <c r="D69" s="1"/>
    </row>
    <row r="70" spans="1:9" x14ac:dyDescent="0.3">
      <c r="A70" t="s">
        <v>98</v>
      </c>
      <c r="C70" s="1"/>
      <c r="D70" s="1"/>
    </row>
    <row r="71" spans="1:9" x14ac:dyDescent="0.3">
      <c r="A71" s="2" t="s">
        <v>61</v>
      </c>
      <c r="C71" s="1"/>
      <c r="D71" s="1"/>
    </row>
    <row r="72" spans="1:9" x14ac:dyDescent="0.3">
      <c r="A72" t="s">
        <v>62</v>
      </c>
      <c r="C72" s="1"/>
      <c r="D72" s="1"/>
      <c r="G72" s="7" t="s">
        <v>104</v>
      </c>
      <c r="H72" s="7" t="s">
        <v>105</v>
      </c>
    </row>
    <row r="73" spans="1:9" x14ac:dyDescent="0.3">
      <c r="A73" t="s">
        <v>63</v>
      </c>
      <c r="C73" s="1"/>
      <c r="D73" s="1"/>
      <c r="G73" s="8" t="s">
        <v>106</v>
      </c>
      <c r="H73" s="8" t="s">
        <v>107</v>
      </c>
    </row>
    <row r="74" spans="1:9" ht="28.8" x14ac:dyDescent="0.3">
      <c r="C74" s="1"/>
      <c r="D74" s="1"/>
      <c r="G74" s="8" t="s">
        <v>108</v>
      </c>
      <c r="H74" s="8" t="s">
        <v>109</v>
      </c>
    </row>
    <row r="75" spans="1:9" ht="28.8" x14ac:dyDescent="0.3">
      <c r="A75" t="s">
        <v>64</v>
      </c>
      <c r="C75" s="1"/>
      <c r="D75" s="1"/>
      <c r="G75" s="8" t="s">
        <v>110</v>
      </c>
      <c r="H75" s="9" t="s">
        <v>111</v>
      </c>
    </row>
    <row r="76" spans="1:9" ht="28.8" x14ac:dyDescent="0.3">
      <c r="C76" s="1"/>
      <c r="D76" s="1"/>
      <c r="G76" s="8" t="s">
        <v>112</v>
      </c>
      <c r="H76" s="8" t="s">
        <v>107</v>
      </c>
    </row>
    <row r="77" spans="1:9" x14ac:dyDescent="0.3">
      <c r="A77" t="s">
        <v>65</v>
      </c>
      <c r="C77" s="1"/>
      <c r="D77" s="1"/>
    </row>
    <row r="78" spans="1:9" x14ac:dyDescent="0.3">
      <c r="A78" t="s">
        <v>66</v>
      </c>
      <c r="C78" s="1"/>
      <c r="D78" s="1"/>
    </row>
    <row r="79" spans="1:9" x14ac:dyDescent="0.3">
      <c r="A79" t="s">
        <v>67</v>
      </c>
      <c r="C79" s="1"/>
      <c r="D79" s="1"/>
    </row>
    <row r="80" spans="1:9" x14ac:dyDescent="0.3">
      <c r="A80" t="s">
        <v>68</v>
      </c>
      <c r="C80" s="1"/>
      <c r="D80" s="1"/>
    </row>
    <row r="81" spans="1:4" x14ac:dyDescent="0.3">
      <c r="A81" t="s">
        <v>69</v>
      </c>
      <c r="C81" s="1"/>
      <c r="D81" s="1"/>
    </row>
    <row r="82" spans="1:4" x14ac:dyDescent="0.3">
      <c r="A82" t="s">
        <v>70</v>
      </c>
      <c r="C82" s="1"/>
      <c r="D82" s="1"/>
    </row>
    <row r="83" spans="1:4" x14ac:dyDescent="0.3">
      <c r="A83" t="s">
        <v>71</v>
      </c>
      <c r="C83" s="1"/>
      <c r="D83" s="1"/>
    </row>
    <row r="84" spans="1:4" x14ac:dyDescent="0.3">
      <c r="C84" s="1"/>
      <c r="D84" s="1"/>
    </row>
    <row r="85" spans="1:4" x14ac:dyDescent="0.3">
      <c r="A85" t="s">
        <v>72</v>
      </c>
      <c r="C85" s="1"/>
      <c r="D85" s="1"/>
    </row>
    <row r="86" spans="1:4" x14ac:dyDescent="0.3">
      <c r="C86" s="1"/>
      <c r="D86" s="1"/>
    </row>
    <row r="87" spans="1:4" x14ac:dyDescent="0.3">
      <c r="A87" t="s">
        <v>73</v>
      </c>
      <c r="C87" s="1"/>
      <c r="D87" s="1"/>
    </row>
    <row r="88" spans="1:4" x14ac:dyDescent="0.3">
      <c r="A88" t="s">
        <v>74</v>
      </c>
      <c r="C88" s="1"/>
      <c r="D88" s="1"/>
    </row>
    <row r="89" spans="1:4" x14ac:dyDescent="0.3">
      <c r="A89" t="s">
        <v>75</v>
      </c>
      <c r="C89" s="1"/>
      <c r="D89" s="1"/>
    </row>
    <row r="91" spans="1:4" x14ac:dyDescent="0.3">
      <c r="A91" t="s">
        <v>76</v>
      </c>
    </row>
    <row r="92" spans="1:4" x14ac:dyDescent="0.3">
      <c r="A92" t="s">
        <v>77</v>
      </c>
    </row>
    <row r="93" spans="1:4" x14ac:dyDescent="0.3">
      <c r="A93" t="s">
        <v>78</v>
      </c>
    </row>
  </sheetData>
  <mergeCells count="1">
    <mergeCell ref="G60:J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5773-AF6F-493B-BE2B-A4DBEF6A7E2C}">
  <sheetPr codeName="Sheet1"/>
  <dimension ref="A1:M137"/>
  <sheetViews>
    <sheetView tabSelected="1" view="pageBreakPreview" topLeftCell="A22" zoomScale="85" zoomScaleNormal="100" workbookViewId="0">
      <selection activeCell="I41" sqref="I41"/>
    </sheetView>
  </sheetViews>
  <sheetFormatPr defaultRowHeight="14.4" x14ac:dyDescent="0.3"/>
  <cols>
    <col min="1" max="1" width="78.6640625" style="34" bestFit="1" customWidth="1"/>
    <col min="2" max="2" width="10.109375" bestFit="1" customWidth="1"/>
    <col min="3" max="3" width="12.44140625" bestFit="1" customWidth="1"/>
    <col min="4" max="5" width="13.109375" bestFit="1" customWidth="1"/>
    <col min="6" max="7" width="11.44140625" bestFit="1" customWidth="1"/>
    <col min="12" max="13" width="13.109375" bestFit="1" customWidth="1"/>
  </cols>
  <sheetData>
    <row r="1" spans="1:6" x14ac:dyDescent="0.3">
      <c r="A1" s="33" t="s">
        <v>113</v>
      </c>
    </row>
    <row r="3" spans="1:6" ht="15" thickBot="1" x14ac:dyDescent="0.35">
      <c r="A3" s="35" t="s">
        <v>184</v>
      </c>
    </row>
    <row r="5" spans="1:6" ht="15" thickBot="1" x14ac:dyDescent="0.35">
      <c r="A5" s="45" t="s">
        <v>114</v>
      </c>
    </row>
    <row r="6" spans="1:6" x14ac:dyDescent="0.3">
      <c r="D6" t="s">
        <v>171</v>
      </c>
      <c r="E6" t="s">
        <v>2</v>
      </c>
    </row>
    <row r="7" spans="1:6" x14ac:dyDescent="0.3">
      <c r="A7" s="34" t="s">
        <v>0</v>
      </c>
      <c r="C7" s="1"/>
      <c r="D7" s="1">
        <v>1000000</v>
      </c>
      <c r="E7" s="1">
        <f>+D7*12</f>
        <v>12000000</v>
      </c>
      <c r="F7" s="1"/>
    </row>
    <row r="8" spans="1:6" x14ac:dyDescent="0.3">
      <c r="A8" s="34" t="s">
        <v>115</v>
      </c>
      <c r="C8" s="1"/>
      <c r="D8" s="1">
        <v>100000</v>
      </c>
      <c r="E8" s="1">
        <f>+D8*12</f>
        <v>1200000</v>
      </c>
      <c r="F8" s="1"/>
    </row>
    <row r="9" spans="1:6" x14ac:dyDescent="0.3">
      <c r="A9" s="34" t="s">
        <v>116</v>
      </c>
      <c r="C9" s="1"/>
      <c r="D9" s="1">
        <v>100000</v>
      </c>
      <c r="E9" s="1">
        <f>+D9*12</f>
        <v>1200000</v>
      </c>
      <c r="F9" s="1"/>
    </row>
    <row r="10" spans="1:6" x14ac:dyDescent="0.3">
      <c r="A10" s="34" t="s">
        <v>117</v>
      </c>
      <c r="C10" s="1"/>
      <c r="D10" s="1">
        <v>100000</v>
      </c>
      <c r="E10" s="1">
        <f>+D10*12</f>
        <v>1200000</v>
      </c>
      <c r="F10" s="1"/>
    </row>
    <row r="11" spans="1:6" x14ac:dyDescent="0.3">
      <c r="A11" s="34" t="s">
        <v>44</v>
      </c>
      <c r="C11" s="1"/>
      <c r="D11" s="1">
        <v>100000</v>
      </c>
      <c r="E11" s="1">
        <f>+D11*12</f>
        <v>1200000</v>
      </c>
      <c r="F11" s="1"/>
    </row>
    <row r="12" spans="1:6" ht="15" thickBot="1" x14ac:dyDescent="0.35">
      <c r="C12" s="1"/>
      <c r="D12" s="1"/>
      <c r="E12" s="1"/>
      <c r="F12" s="1"/>
    </row>
    <row r="13" spans="1:6" ht="15" thickBot="1" x14ac:dyDescent="0.35">
      <c r="A13" s="36" t="s">
        <v>118</v>
      </c>
      <c r="B13" s="12"/>
      <c r="C13" s="13"/>
      <c r="D13" s="13"/>
      <c r="E13" s="13">
        <f>SUM(E7:E11)</f>
        <v>16800000</v>
      </c>
      <c r="F13" s="1"/>
    </row>
    <row r="14" spans="1:6" ht="15" thickTop="1" x14ac:dyDescent="0.3">
      <c r="A14" s="34" t="s">
        <v>182</v>
      </c>
      <c r="C14" s="1">
        <v>10000000</v>
      </c>
      <c r="D14" s="1">
        <f>+C14*0.05</f>
        <v>500000</v>
      </c>
      <c r="E14" s="1">
        <f>+C14</f>
        <v>10000000</v>
      </c>
      <c r="F14" s="1"/>
    </row>
    <row r="15" spans="1:6" ht="15" thickBot="1" x14ac:dyDescent="0.35">
      <c r="A15" s="45" t="s">
        <v>119</v>
      </c>
      <c r="C15" s="1"/>
      <c r="D15" s="1"/>
      <c r="E15" s="1"/>
      <c r="F15" s="1"/>
    </row>
    <row r="16" spans="1:6" x14ac:dyDescent="0.3">
      <c r="C16" s="1"/>
      <c r="D16" s="1"/>
      <c r="E16" s="1"/>
      <c r="F16" s="1"/>
    </row>
    <row r="17" spans="1:6" x14ac:dyDescent="0.3">
      <c r="A17" s="34" t="s">
        <v>120</v>
      </c>
      <c r="C17" s="1"/>
      <c r="D17" s="1">
        <v>100000</v>
      </c>
      <c r="E17" s="1">
        <f>+D17</f>
        <v>100000</v>
      </c>
      <c r="F17" s="1"/>
    </row>
    <row r="18" spans="1:6" x14ac:dyDescent="0.3">
      <c r="A18" s="34" t="s">
        <v>6</v>
      </c>
      <c r="C18" s="1"/>
      <c r="D18" s="1">
        <v>100000</v>
      </c>
      <c r="E18" s="1">
        <f t="shared" ref="E18:E27" si="0">+D18</f>
        <v>100000</v>
      </c>
      <c r="F18" s="1"/>
    </row>
    <row r="19" spans="1:6" x14ac:dyDescent="0.3">
      <c r="A19" s="34" t="s">
        <v>121</v>
      </c>
      <c r="C19" s="1"/>
      <c r="D19" s="1">
        <v>100000</v>
      </c>
      <c r="E19" s="1">
        <f t="shared" si="0"/>
        <v>100000</v>
      </c>
      <c r="F19" s="1"/>
    </row>
    <row r="20" spans="1:6" x14ac:dyDescent="0.3">
      <c r="A20" s="34" t="s">
        <v>122</v>
      </c>
      <c r="C20" s="1"/>
      <c r="D20" s="1">
        <v>100000</v>
      </c>
      <c r="E20" s="1">
        <f t="shared" si="0"/>
        <v>100000</v>
      </c>
      <c r="F20" s="1"/>
    </row>
    <row r="21" spans="1:6" x14ac:dyDescent="0.3">
      <c r="A21" s="34" t="s">
        <v>7</v>
      </c>
      <c r="C21" s="1"/>
      <c r="D21" s="1">
        <v>100000</v>
      </c>
      <c r="E21" s="1">
        <f t="shared" si="0"/>
        <v>100000</v>
      </c>
      <c r="F21" s="1"/>
    </row>
    <row r="22" spans="1:6" x14ac:dyDescent="0.3">
      <c r="A22" s="34" t="s">
        <v>123</v>
      </c>
      <c r="C22" s="1"/>
      <c r="D22" s="1">
        <v>100000</v>
      </c>
      <c r="E22" s="1">
        <f t="shared" si="0"/>
        <v>100000</v>
      </c>
      <c r="F22" s="1"/>
    </row>
    <row r="23" spans="1:6" x14ac:dyDescent="0.3">
      <c r="A23" s="34" t="s">
        <v>124</v>
      </c>
      <c r="C23" s="1"/>
      <c r="D23" s="1">
        <v>100000</v>
      </c>
      <c r="E23" s="1">
        <f t="shared" si="0"/>
        <v>100000</v>
      </c>
      <c r="F23" s="1"/>
    </row>
    <row r="24" spans="1:6" x14ac:dyDescent="0.3">
      <c r="A24" s="34" t="s">
        <v>125</v>
      </c>
      <c r="C24" s="1"/>
      <c r="D24" s="1">
        <v>100000</v>
      </c>
      <c r="E24" s="1">
        <f t="shared" si="0"/>
        <v>100000</v>
      </c>
      <c r="F24" s="1"/>
    </row>
    <row r="25" spans="1:6" x14ac:dyDescent="0.3">
      <c r="A25" s="34" t="s">
        <v>126</v>
      </c>
      <c r="C25" s="1"/>
      <c r="D25" s="1">
        <v>100000</v>
      </c>
      <c r="E25" s="1">
        <f t="shared" si="0"/>
        <v>100000</v>
      </c>
      <c r="F25" s="1"/>
    </row>
    <row r="26" spans="1:6" x14ac:dyDescent="0.3">
      <c r="A26" s="34" t="s">
        <v>127</v>
      </c>
      <c r="C26" s="1"/>
      <c r="D26" s="1">
        <v>100000</v>
      </c>
      <c r="E26" s="1">
        <f t="shared" si="0"/>
        <v>100000</v>
      </c>
      <c r="F26" s="1"/>
    </row>
    <row r="27" spans="1:6" x14ac:dyDescent="0.3">
      <c r="A27" s="34" t="s">
        <v>128</v>
      </c>
      <c r="C27" s="1"/>
      <c r="D27" s="1">
        <v>100000</v>
      </c>
      <c r="E27" s="1">
        <f t="shared" si="0"/>
        <v>100000</v>
      </c>
      <c r="F27" s="1"/>
    </row>
    <row r="28" spans="1:6" ht="15" thickBot="1" x14ac:dyDescent="0.35">
      <c r="C28" s="1"/>
      <c r="D28" s="1"/>
      <c r="E28" s="1"/>
      <c r="F28" s="1"/>
    </row>
    <row r="29" spans="1:6" ht="15" thickBot="1" x14ac:dyDescent="0.35">
      <c r="A29" s="36" t="s">
        <v>129</v>
      </c>
      <c r="B29" s="12"/>
      <c r="C29" s="13"/>
      <c r="D29" s="13"/>
      <c r="E29" s="13">
        <f>SUM(E14:E28)</f>
        <v>11100000</v>
      </c>
      <c r="F29" s="1"/>
    </row>
    <row r="30" spans="1:6" ht="15" thickTop="1" x14ac:dyDescent="0.3">
      <c r="C30" s="1"/>
      <c r="D30" s="1"/>
      <c r="E30" s="1"/>
      <c r="F30" s="1"/>
    </row>
    <row r="31" spans="1:6" ht="15" thickBot="1" x14ac:dyDescent="0.35">
      <c r="A31" s="45" t="s">
        <v>130</v>
      </c>
      <c r="C31" s="1"/>
      <c r="D31" s="1"/>
      <c r="E31" s="1"/>
      <c r="F31" s="1"/>
    </row>
    <row r="32" spans="1:6" x14ac:dyDescent="0.3">
      <c r="C32" s="1"/>
      <c r="D32" s="1"/>
      <c r="E32" s="1"/>
      <c r="F32" s="1"/>
    </row>
    <row r="33" spans="1:13" x14ac:dyDescent="0.3">
      <c r="A33" s="46" t="s">
        <v>131</v>
      </c>
      <c r="C33" s="1"/>
      <c r="D33" s="1">
        <v>100000</v>
      </c>
      <c r="E33" s="1">
        <f>+D33*12</f>
        <v>1200000</v>
      </c>
      <c r="F33" s="1"/>
    </row>
    <row r="34" spans="1:13" x14ac:dyDescent="0.3">
      <c r="A34" s="46" t="s">
        <v>132</v>
      </c>
      <c r="C34" s="1"/>
      <c r="D34" s="1">
        <v>50000</v>
      </c>
      <c r="E34" s="1">
        <f>-D34*12</f>
        <v>-600000</v>
      </c>
      <c r="F34" s="1"/>
    </row>
    <row r="35" spans="1:13" x14ac:dyDescent="0.3">
      <c r="A35" s="34" t="s">
        <v>133</v>
      </c>
      <c r="C35" s="1"/>
      <c r="D35" s="1">
        <v>100000</v>
      </c>
      <c r="E35" s="1">
        <f>+D35*12</f>
        <v>1200000</v>
      </c>
      <c r="F35" s="1"/>
    </row>
    <row r="36" spans="1:13" x14ac:dyDescent="0.3">
      <c r="A36" s="34" t="s">
        <v>134</v>
      </c>
      <c r="C36" s="1"/>
      <c r="D36" s="1">
        <v>100000</v>
      </c>
      <c r="E36" s="1">
        <f>+D36*12</f>
        <v>1200000</v>
      </c>
      <c r="F36" s="1"/>
    </row>
    <row r="37" spans="1:13" x14ac:dyDescent="0.3">
      <c r="A37" s="34" t="s">
        <v>135</v>
      </c>
      <c r="C37" s="1"/>
      <c r="D37" s="1">
        <v>100000</v>
      </c>
      <c r="E37" s="1">
        <f>+D37*12</f>
        <v>1200000</v>
      </c>
      <c r="F37" s="1"/>
    </row>
    <row r="38" spans="1:13" x14ac:dyDescent="0.3">
      <c r="A38" s="46" t="s">
        <v>136</v>
      </c>
      <c r="C38" s="1"/>
      <c r="D38" s="1">
        <v>12000000</v>
      </c>
      <c r="E38" s="1"/>
      <c r="F38" s="1"/>
    </row>
    <row r="39" spans="1:13" x14ac:dyDescent="0.3">
      <c r="A39" s="46" t="s">
        <v>137</v>
      </c>
      <c r="C39" s="1"/>
      <c r="D39" s="1"/>
      <c r="E39" s="1"/>
      <c r="F39" s="1"/>
    </row>
    <row r="40" spans="1:13" x14ac:dyDescent="0.3">
      <c r="A40" s="34" t="s">
        <v>138</v>
      </c>
      <c r="C40" s="1"/>
      <c r="D40" s="1"/>
      <c r="E40" s="1">
        <f>+D38*0.05</f>
        <v>600000</v>
      </c>
      <c r="F40" s="1"/>
    </row>
    <row r="41" spans="1:13" x14ac:dyDescent="0.3">
      <c r="A41" s="34" t="s">
        <v>139</v>
      </c>
      <c r="C41" s="1"/>
      <c r="D41" s="1"/>
      <c r="E41" s="1"/>
      <c r="F41" s="1"/>
      <c r="I41" s="2" t="s">
        <v>188</v>
      </c>
    </row>
    <row r="42" spans="1:13" x14ac:dyDescent="0.3">
      <c r="A42" s="46" t="s">
        <v>140</v>
      </c>
      <c r="C42" s="1"/>
      <c r="D42" s="1">
        <v>100000</v>
      </c>
      <c r="E42" s="1">
        <f>+D42*12</f>
        <v>1200000</v>
      </c>
      <c r="F42" s="1"/>
      <c r="I42" t="s">
        <v>176</v>
      </c>
      <c r="M42" s="20">
        <v>120000000</v>
      </c>
    </row>
    <row r="43" spans="1:13" x14ac:dyDescent="0.3">
      <c r="A43" s="46" t="s">
        <v>94</v>
      </c>
      <c r="C43" s="30">
        <v>150000</v>
      </c>
      <c r="D43" s="30">
        <f>+E7/10</f>
        <v>1200000</v>
      </c>
      <c r="E43" s="30">
        <f>-C43</f>
        <v>-150000</v>
      </c>
      <c r="F43" s="1"/>
      <c r="I43" s="2" t="s">
        <v>178</v>
      </c>
      <c r="J43" s="2"/>
      <c r="K43" s="2"/>
      <c r="L43" s="2"/>
      <c r="M43" s="22">
        <f>+M45-M47</f>
        <v>4800000</v>
      </c>
    </row>
    <row r="44" spans="1:13" x14ac:dyDescent="0.3">
      <c r="A44" s="46" t="s">
        <v>187</v>
      </c>
      <c r="C44" s="30">
        <v>120000000</v>
      </c>
      <c r="D44" s="30">
        <f>+C44*0.16</f>
        <v>19200000</v>
      </c>
      <c r="E44" s="30">
        <f>+M43</f>
        <v>4800000</v>
      </c>
      <c r="F44" s="1">
        <f>+C44*20%</f>
        <v>24000000</v>
      </c>
      <c r="G44" s="21"/>
      <c r="I44" t="s">
        <v>179</v>
      </c>
    </row>
    <row r="45" spans="1:13" x14ac:dyDescent="0.3">
      <c r="A45" s="46" t="s">
        <v>141</v>
      </c>
      <c r="C45" s="1">
        <v>1200000</v>
      </c>
      <c r="D45" s="1">
        <f>+E7*0.45</f>
        <v>5400000</v>
      </c>
      <c r="E45" s="1">
        <f>+D45</f>
        <v>5400000</v>
      </c>
      <c r="F45" s="1"/>
      <c r="I45" t="s">
        <v>177</v>
      </c>
      <c r="M45" s="1">
        <f>+M42*0.2</f>
        <v>24000000</v>
      </c>
    </row>
    <row r="46" spans="1:13" x14ac:dyDescent="0.3">
      <c r="A46" s="46" t="s">
        <v>142</v>
      </c>
      <c r="C46" s="1"/>
      <c r="D46" s="1">
        <v>12000000</v>
      </c>
      <c r="E46" s="1"/>
      <c r="F46" s="1"/>
      <c r="I46" t="s">
        <v>179</v>
      </c>
    </row>
    <row r="47" spans="1:13" x14ac:dyDescent="0.3">
      <c r="A47" s="46" t="s">
        <v>143</v>
      </c>
      <c r="C47" s="1"/>
      <c r="D47" s="1">
        <f>+D46*0.05</f>
        <v>600000</v>
      </c>
      <c r="E47" s="1">
        <f>+D47</f>
        <v>600000</v>
      </c>
      <c r="F47" s="1"/>
      <c r="I47" t="s">
        <v>180</v>
      </c>
      <c r="L47" s="1">
        <f>+M42*0.16</f>
        <v>19200000</v>
      </c>
      <c r="M47" s="21">
        <f>+L47</f>
        <v>19200000</v>
      </c>
    </row>
    <row r="48" spans="1:13" x14ac:dyDescent="0.3">
      <c r="A48" s="34" t="s">
        <v>144</v>
      </c>
      <c r="C48" s="1"/>
      <c r="D48" s="1"/>
      <c r="E48" s="1"/>
      <c r="F48" s="1"/>
      <c r="I48" t="s">
        <v>181</v>
      </c>
      <c r="L48" s="1">
        <f>+E7/3</f>
        <v>4000000</v>
      </c>
    </row>
    <row r="49" spans="1:7" x14ac:dyDescent="0.3">
      <c r="A49" s="34" t="s">
        <v>145</v>
      </c>
      <c r="C49" s="1"/>
      <c r="D49" s="1"/>
      <c r="E49" s="1"/>
      <c r="F49" s="1"/>
    </row>
    <row r="50" spans="1:7" ht="15" thickBot="1" x14ac:dyDescent="0.35">
      <c r="C50" s="1"/>
      <c r="D50" s="1"/>
      <c r="E50" s="1"/>
      <c r="F50" s="1"/>
    </row>
    <row r="51" spans="1:7" ht="15" thickBot="1" x14ac:dyDescent="0.35">
      <c r="A51" s="37" t="s">
        <v>146</v>
      </c>
      <c r="C51" s="1"/>
      <c r="D51" s="1"/>
      <c r="E51" s="1">
        <f>SUM(E33:E48)</f>
        <v>16650000</v>
      </c>
      <c r="F51" s="19"/>
      <c r="G51" s="18"/>
    </row>
    <row r="52" spans="1:7" ht="15" thickBot="1" x14ac:dyDescent="0.35">
      <c r="A52" s="38" t="s">
        <v>147</v>
      </c>
      <c r="B52" s="12"/>
      <c r="C52" s="13"/>
      <c r="D52" s="13"/>
      <c r="E52" s="13">
        <f>+E51+E29+E13</f>
        <v>44550000</v>
      </c>
      <c r="F52" s="1"/>
    </row>
    <row r="53" spans="1:7" ht="15" thickTop="1" x14ac:dyDescent="0.3">
      <c r="C53" s="1"/>
      <c r="D53" s="1"/>
      <c r="E53" s="1"/>
      <c r="F53" s="1"/>
    </row>
    <row r="54" spans="1:7" ht="15" thickBot="1" x14ac:dyDescent="0.35">
      <c r="A54" s="39" t="s">
        <v>148</v>
      </c>
      <c r="C54" s="1"/>
      <c r="D54" s="1"/>
      <c r="E54" s="1"/>
      <c r="F54" s="1"/>
    </row>
    <row r="55" spans="1:7" x14ac:dyDescent="0.3">
      <c r="C55" s="1"/>
      <c r="D55" s="1"/>
      <c r="E55" s="1"/>
      <c r="F55" s="1"/>
    </row>
    <row r="56" spans="1:7" x14ac:dyDescent="0.3">
      <c r="A56" s="46" t="s">
        <v>149</v>
      </c>
      <c r="C56" s="1"/>
      <c r="D56" s="1"/>
      <c r="E56" s="1">
        <v>-100000</v>
      </c>
      <c r="F56" s="1"/>
    </row>
    <row r="57" spans="1:7" x14ac:dyDescent="0.3">
      <c r="A57" s="46" t="s">
        <v>150</v>
      </c>
      <c r="B57" t="s">
        <v>172</v>
      </c>
      <c r="C57" s="1"/>
      <c r="D57" s="1"/>
      <c r="E57" s="1"/>
      <c r="F57" s="1"/>
    </row>
    <row r="58" spans="1:7" x14ac:dyDescent="0.3">
      <c r="A58" s="46" t="s">
        <v>151</v>
      </c>
      <c r="C58" s="1"/>
      <c r="D58" s="1"/>
      <c r="E58" s="1">
        <f>-E7*0.1</f>
        <v>-1200000</v>
      </c>
      <c r="F58" s="1"/>
    </row>
    <row r="59" spans="1:7" ht="15" thickBot="1" x14ac:dyDescent="0.35">
      <c r="C59" s="1"/>
      <c r="D59" s="1"/>
      <c r="E59" s="1"/>
      <c r="F59" s="1"/>
    </row>
    <row r="60" spans="1:7" x14ac:dyDescent="0.3">
      <c r="A60" s="40" t="s">
        <v>152</v>
      </c>
      <c r="B60" s="14"/>
      <c r="C60" s="15"/>
      <c r="D60" s="15"/>
      <c r="E60" s="15">
        <f>SUM(E56:E59)</f>
        <v>-1300000</v>
      </c>
      <c r="F60" s="1"/>
    </row>
    <row r="61" spans="1:7" ht="15" thickBot="1" x14ac:dyDescent="0.35">
      <c r="A61" s="41" t="s">
        <v>153</v>
      </c>
      <c r="B61" s="10"/>
      <c r="C61" s="11"/>
      <c r="D61" s="11"/>
      <c r="E61" s="11">
        <f>+E52+E60</f>
        <v>43250000</v>
      </c>
      <c r="F61" s="1"/>
    </row>
    <row r="62" spans="1:7" ht="15.6" thickTop="1" thickBot="1" x14ac:dyDescent="0.35">
      <c r="A62" s="42" t="s">
        <v>154</v>
      </c>
      <c r="B62" s="16"/>
      <c r="C62" s="17"/>
      <c r="D62" s="17"/>
      <c r="E62" s="17">
        <f>616000+(E61-4100000)*0.35</f>
        <v>14318500</v>
      </c>
      <c r="F62" s="1"/>
    </row>
    <row r="63" spans="1:7" ht="15" thickTop="1" x14ac:dyDescent="0.3">
      <c r="C63" s="1"/>
      <c r="D63" s="1"/>
      <c r="E63" s="1"/>
      <c r="F63" s="1"/>
    </row>
    <row r="64" spans="1:7" ht="15" thickBot="1" x14ac:dyDescent="0.35">
      <c r="A64" s="39" t="s">
        <v>155</v>
      </c>
      <c r="C64" s="27" t="s">
        <v>183</v>
      </c>
      <c r="D64" s="1"/>
      <c r="E64" s="1"/>
      <c r="F64" s="1"/>
    </row>
    <row r="65" spans="1:7" x14ac:dyDescent="0.3">
      <c r="C65" s="25" t="s">
        <v>173</v>
      </c>
      <c r="D65" s="25"/>
      <c r="E65" s="1"/>
      <c r="F65" s="1"/>
    </row>
    <row r="66" spans="1:7" x14ac:dyDescent="0.3">
      <c r="A66" s="46" t="s">
        <v>156</v>
      </c>
      <c r="C66" s="1">
        <v>1500000</v>
      </c>
      <c r="D66" s="1">
        <f>+E61*0.3</f>
        <v>12975000</v>
      </c>
      <c r="E66" s="30">
        <f>+E62/E61*-C66</f>
        <v>-496595.37572254339</v>
      </c>
      <c r="F66" s="1"/>
    </row>
    <row r="67" spans="1:7" x14ac:dyDescent="0.3">
      <c r="C67" s="1" t="s">
        <v>175</v>
      </c>
      <c r="D67" s="1"/>
      <c r="E67" s="30"/>
      <c r="F67" s="1"/>
    </row>
    <row r="68" spans="1:7" x14ac:dyDescent="0.3">
      <c r="A68" s="46" t="s">
        <v>157</v>
      </c>
      <c r="C68" s="1">
        <v>4000000</v>
      </c>
      <c r="D68" s="1">
        <f>+E61*0.2</f>
        <v>8650000</v>
      </c>
      <c r="E68" s="30">
        <f>+E62/E61*-C68</f>
        <v>-1324254.3352601158</v>
      </c>
      <c r="F68" s="1"/>
    </row>
    <row r="69" spans="1:7" x14ac:dyDescent="0.3">
      <c r="C69" s="1" t="s">
        <v>174</v>
      </c>
      <c r="E69" s="30"/>
      <c r="F69" s="1"/>
    </row>
    <row r="70" spans="1:7" x14ac:dyDescent="0.3">
      <c r="A70" s="46" t="s">
        <v>158</v>
      </c>
      <c r="C70" s="1">
        <v>6000000</v>
      </c>
      <c r="D70" s="1">
        <f>+E61*0.3</f>
        <v>12975000</v>
      </c>
      <c r="E70" s="30">
        <f>+E62/E61*-C70</f>
        <v>-1986381.5028901736</v>
      </c>
      <c r="F70" s="24"/>
    </row>
    <row r="71" spans="1:7" ht="15" thickBot="1" x14ac:dyDescent="0.35">
      <c r="C71" s="1"/>
      <c r="D71" s="1"/>
      <c r="E71" s="1"/>
      <c r="F71" s="1"/>
    </row>
    <row r="72" spans="1:7" ht="15" thickBot="1" x14ac:dyDescent="0.35">
      <c r="A72" s="43" t="s">
        <v>186</v>
      </c>
      <c r="B72" s="31"/>
      <c r="C72" s="32"/>
      <c r="D72" s="32"/>
      <c r="E72" s="32">
        <f>SUM(E66:E70)</f>
        <v>-3807231.2138728327</v>
      </c>
      <c r="F72" s="1"/>
    </row>
    <row r="73" spans="1:7" ht="15.6" thickTop="1" thickBot="1" x14ac:dyDescent="0.35">
      <c r="A73" s="38" t="s">
        <v>159</v>
      </c>
      <c r="B73" s="12"/>
      <c r="C73" s="13"/>
      <c r="D73" s="13"/>
      <c r="E73" s="13">
        <f>+E62+E72</f>
        <v>10511268.786127167</v>
      </c>
      <c r="F73" s="1"/>
      <c r="G73" s="21"/>
    </row>
    <row r="74" spans="1:7" ht="15" thickTop="1" x14ac:dyDescent="0.3">
      <c r="C74" s="1"/>
      <c r="D74" s="1"/>
      <c r="E74" s="1"/>
      <c r="F74" s="1"/>
    </row>
    <row r="75" spans="1:7" ht="15" thickBot="1" x14ac:dyDescent="0.35">
      <c r="A75" s="39" t="s">
        <v>160</v>
      </c>
      <c r="C75" s="1"/>
      <c r="D75" s="1"/>
      <c r="E75" s="1"/>
      <c r="F75" s="1"/>
    </row>
    <row r="76" spans="1:7" x14ac:dyDescent="0.3">
      <c r="C76" s="1"/>
      <c r="D76" s="1"/>
      <c r="E76" s="1"/>
      <c r="F76" s="1"/>
    </row>
    <row r="77" spans="1:7" x14ac:dyDescent="0.3">
      <c r="A77" s="46" t="s">
        <v>161</v>
      </c>
      <c r="C77" s="1"/>
      <c r="D77" s="1">
        <v>500000</v>
      </c>
      <c r="E77" s="1">
        <f t="shared" ref="E77:E85" si="1">-D77</f>
        <v>-500000</v>
      </c>
      <c r="F77" s="1"/>
    </row>
    <row r="78" spans="1:7" x14ac:dyDescent="0.3">
      <c r="A78" s="46" t="s">
        <v>162</v>
      </c>
      <c r="C78" s="1"/>
      <c r="D78" s="1">
        <v>500000</v>
      </c>
      <c r="E78" s="1">
        <f t="shared" si="1"/>
        <v>-500000</v>
      </c>
      <c r="F78" s="1"/>
    </row>
    <row r="79" spans="1:7" x14ac:dyDescent="0.3">
      <c r="A79" s="46" t="s">
        <v>163</v>
      </c>
      <c r="C79" s="1"/>
      <c r="D79" s="1">
        <v>500000</v>
      </c>
      <c r="E79" s="1">
        <f t="shared" si="1"/>
        <v>-500000</v>
      </c>
      <c r="F79" s="1"/>
    </row>
    <row r="80" spans="1:7" x14ac:dyDescent="0.3">
      <c r="A80" s="46" t="s">
        <v>164</v>
      </c>
      <c r="C80" s="1"/>
      <c r="D80" s="1">
        <v>500000</v>
      </c>
      <c r="E80" s="1">
        <f t="shared" si="1"/>
        <v>-500000</v>
      </c>
      <c r="F80" s="1"/>
    </row>
    <row r="81" spans="1:6" x14ac:dyDescent="0.3">
      <c r="A81" s="46" t="s">
        <v>165</v>
      </c>
      <c r="C81" s="1"/>
      <c r="D81" s="1">
        <v>500000</v>
      </c>
      <c r="E81" s="1">
        <f t="shared" si="1"/>
        <v>-500000</v>
      </c>
      <c r="F81" s="1"/>
    </row>
    <row r="82" spans="1:6" x14ac:dyDescent="0.3">
      <c r="A82" s="46" t="s">
        <v>166</v>
      </c>
      <c r="C82" s="1"/>
      <c r="D82" s="1">
        <v>500000</v>
      </c>
      <c r="E82" s="1">
        <f t="shared" si="1"/>
        <v>-500000</v>
      </c>
      <c r="F82" s="1"/>
    </row>
    <row r="83" spans="1:6" x14ac:dyDescent="0.3">
      <c r="A83" s="46" t="s">
        <v>167</v>
      </c>
      <c r="C83" s="1"/>
      <c r="D83" s="1">
        <v>500000</v>
      </c>
      <c r="E83" s="1">
        <f t="shared" si="1"/>
        <v>-500000</v>
      </c>
      <c r="F83" s="1"/>
    </row>
    <row r="84" spans="1:6" x14ac:dyDescent="0.3">
      <c r="A84" s="46" t="s">
        <v>168</v>
      </c>
      <c r="C84" s="1"/>
      <c r="D84" s="1">
        <v>500000</v>
      </c>
      <c r="E84" s="1">
        <f t="shared" si="1"/>
        <v>-500000</v>
      </c>
      <c r="F84" s="1"/>
    </row>
    <row r="85" spans="1:6" x14ac:dyDescent="0.3">
      <c r="A85" s="46" t="s">
        <v>169</v>
      </c>
      <c r="C85" s="1"/>
      <c r="D85" s="1">
        <v>500000</v>
      </c>
      <c r="E85" s="1">
        <f t="shared" si="1"/>
        <v>-500000</v>
      </c>
      <c r="F85" s="1"/>
    </row>
    <row r="86" spans="1:6" ht="15" thickBot="1" x14ac:dyDescent="0.35">
      <c r="C86" s="1"/>
      <c r="D86" s="1"/>
      <c r="E86" s="1"/>
      <c r="F86" s="1"/>
    </row>
    <row r="87" spans="1:6" ht="15" thickBot="1" x14ac:dyDescent="0.35">
      <c r="A87" s="37" t="s">
        <v>170</v>
      </c>
      <c r="C87" s="1"/>
      <c r="D87" s="11"/>
      <c r="E87" s="1">
        <f>SUM(E77:E86)</f>
        <v>-4500000</v>
      </c>
      <c r="F87" s="1"/>
    </row>
    <row r="88" spans="1:6" x14ac:dyDescent="0.3">
      <c r="C88" s="1"/>
      <c r="D88" s="1"/>
      <c r="E88" s="1"/>
      <c r="F88" s="1"/>
    </row>
    <row r="89" spans="1:6" x14ac:dyDescent="0.3">
      <c r="C89" s="1"/>
      <c r="D89" s="1"/>
      <c r="E89" s="1"/>
      <c r="F89" s="1"/>
    </row>
    <row r="90" spans="1:6" ht="15" thickBot="1" x14ac:dyDescent="0.35">
      <c r="A90" s="44" t="s">
        <v>185</v>
      </c>
      <c r="B90" s="28"/>
      <c r="C90" s="29"/>
      <c r="D90" s="29"/>
      <c r="E90" s="29">
        <f>+E73+E87</f>
        <v>6011268.7861271668</v>
      </c>
      <c r="F90" s="1"/>
    </row>
    <row r="91" spans="1:6" ht="15" thickTop="1" x14ac:dyDescent="0.3"/>
    <row r="134" spans="1:5" x14ac:dyDescent="0.3">
      <c r="A134" s="23"/>
      <c r="B134" s="19"/>
      <c r="C134" s="18"/>
    </row>
    <row r="137" spans="1:5" x14ac:dyDescent="0.3">
      <c r="E137" s="1"/>
    </row>
  </sheetData>
  <mergeCells count="1">
    <mergeCell ref="C65:D65"/>
  </mergeCells>
  <hyperlinks>
    <hyperlink ref="A5" r:id="rId1" display="https://wade-rangier-freeman.ngrok-free.dev/section?section=12" xr:uid="{932DFBE6-EF5F-4F62-B757-E283E02E6EB4}"/>
    <hyperlink ref="A15" r:id="rId2" display="https://wade-rangier-freeman.ngrok-free.dev/section?section=12" xr:uid="{BFAD03F9-81D1-437C-818E-333E24D3AB0E}"/>
    <hyperlink ref="A31" r:id="rId3" display="https://wade-rangier-freeman.ngrok-free.dev/section?section=12" xr:uid="{9990C1B1-1509-483C-8631-8166D46140EC}"/>
    <hyperlink ref="A33" r:id="rId4" display="https://wade-rangier-freeman.ngrok-free.dev/" xr:uid="{BCA99628-CC49-4766-B97C-327E7CF62348}"/>
    <hyperlink ref="A34" r:id="rId5" display="https://wade-rangier-freeman.ngrok-free.dev/" xr:uid="{54085E51-EEBB-4FFB-9938-517E83E6A215}"/>
    <hyperlink ref="A38" r:id="rId6" display="https://wade-rangier-freeman.ngrok-free.dev/rule.html?rule=5" xr:uid="{ADAAE905-9156-4FA5-81D9-D7451FF84A69}"/>
    <hyperlink ref="A39" r:id="rId7" display="https://wade-rangier-freeman.ngrok-free.dev/rule.html?rule=5" xr:uid="{9A6ED8BD-4F3A-4EBA-93CC-D82FC7225099}"/>
    <hyperlink ref="A42" r:id="rId8" display="https://wade-rangier-freeman.ngrok-free.dev/section?section=3a" xr:uid="{FAD16DAD-AC3B-4FAA-BEEC-1C86D9E649B7}"/>
    <hyperlink ref="A45" r:id="rId9" display="https://wade-rangier-freeman.ngrok-free.dev/rule.html?rule=4" xr:uid="{12DB33C9-14DA-4763-9D44-2D85BAF4753F}"/>
    <hyperlink ref="A46" r:id="rId10" display="https://wade-rangier-freeman.ngrok-free.dev/section?section=13" xr:uid="{32AF57D6-27D9-4704-A0AB-9E3A289E5415}"/>
    <hyperlink ref="A47" r:id="rId11" display="https://wade-rangier-freeman.ngrok-free.dev/section?section=13" xr:uid="{B87880AD-FA45-4ABF-A52F-DC5393D675AA}"/>
    <hyperlink ref="A56" r:id="rId12" display="https://wade-rangier-freeman.ngrok-free.dev/section?section=60" xr:uid="{44BC821B-4E35-4E07-8FF4-21FEAE391629}"/>
    <hyperlink ref="A57" r:id="rId13" display="https://wade-rangier-freeman.ngrok-free.dev/section?section=60D" xr:uid="{1067D6E4-3CBA-4C3B-835A-7D9DEE8050A5}"/>
    <hyperlink ref="A58" r:id="rId14" display="https://wade-rangier-freeman.ngrok-free.dev/section?section=_139" xr:uid="{DE8E0761-4ED8-4C5B-89B7-C2C61A27C295}"/>
    <hyperlink ref="A66" r:id="rId15" display="https://wade-rangier-freeman.ngrok-free.dev/section?section=61" xr:uid="{6036F016-4131-4595-84AA-605407AF089E}"/>
    <hyperlink ref="A68" r:id="rId16" display="https://wade-rangier-freeman.ngrok-free.dev/section?section=63" xr:uid="{F4BF2FD7-F238-480B-85FF-7B2ED3D99A3A}"/>
    <hyperlink ref="A70" r:id="rId17" display="https://wade-rangier-freeman.ngrok-free.dev/section?section=63A" xr:uid="{AF2FE97E-FED5-4381-9854-D7B172EB28CC}"/>
    <hyperlink ref="A77" r:id="rId18" display="https://wade-rangier-freeman.ngrok-free.dev/section?section=234" xr:uid="{78BCE840-E35E-4208-8830-DEFB6D7934C1}"/>
    <hyperlink ref="A78" r:id="rId19" display="https://wade-rangier-freeman.ngrok-free.dev/section?section=231B" xr:uid="{DA4D582D-4DFC-4AE3-93D8-AC7E8CD8AF01}"/>
    <hyperlink ref="A79" r:id="rId20" display="https://wade-rangier-freeman.ngrok-free.dev/section?section=231AB" xr:uid="{CE8FF6C3-D5C9-4D85-A70D-2C586E199AF8}"/>
    <hyperlink ref="A80" r:id="rId21" display="https://wade-rangier-freeman.ngrok-free.dev/section?section=235" xr:uid="{BC848F02-71AB-4271-A698-5378354161B1}"/>
    <hyperlink ref="A81" r:id="rId22" display="https://wade-rangier-freeman.ngrok-free.dev/section?section=236K" xr:uid="{63FFD0AD-6534-4975-8CD8-E8892BAE0D45}"/>
    <hyperlink ref="A82" r:id="rId23" display="https://wade-rangier-freeman.ngrok-free.dev/section?section=236C" xr:uid="{9BBD09D2-A3D8-48B5-A7A9-858DF6C274FF}"/>
    <hyperlink ref="A83" r:id="rId24" display="https://wade-rangier-freeman.ngrok-free.dev/section?section=236Y" xr:uid="{E1A46DE7-B2BB-409B-8E83-70F7F2C89017}"/>
    <hyperlink ref="A84" r:id="rId25" display="https://wade-rangier-freeman.ngrok-free.dev/section?section=236" xr:uid="{BADCE3A1-BAEA-4F4F-8ED6-0EBF4BAE72E7}"/>
    <hyperlink ref="A85" r:id="rId26" display="https://wade-rangier-freeman.ngrok-free.dev/section?section=236CB" xr:uid="{95DB9AFD-36BA-49D2-8C66-7FB3C529255D}"/>
  </hyperlinks>
  <pageMargins left="0.7" right="0.7" top="0.75" bottom="0.75" header="0.3" footer="0.3"/>
  <pageSetup scale="71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Sheet1!index2_20_1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ALI</dc:creator>
  <cp:lastModifiedBy>ZAIN ALI</cp:lastModifiedBy>
  <dcterms:created xsi:type="dcterms:W3CDTF">2026-01-09T06:54:11Z</dcterms:created>
  <dcterms:modified xsi:type="dcterms:W3CDTF">2026-01-11T17:36:17Z</dcterms:modified>
</cp:coreProperties>
</file>